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Читай меня" sheetId="1" state="visible" r:id="rId3"/>
    <sheet name="Продажи по сетям" sheetId="2" state="visible" r:id="rId4"/>
    <sheet name="Сезонность" sheetId="3" state="visible" r:id="rId5"/>
    <sheet name="Макро и цены" sheetId="4" state="visible" r:id="rId6"/>
    <sheet name="Справочник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<sst xmlns="http://schemas.openxmlformats.org/spreadsheetml/2006/main" count="232" uniqueCount="94">
  <si>
    <t xml:space="preserve">УЧЕБНАЯ КНИГА ДАННЫХ ДЛЯ ПРАКТИКУМА</t>
  </si>
  <si>
    <t xml:space="preserve">Подготовлено для практикума 30 августа 2026 года, кейс «Цифры и таблицы».</t>
  </si>
  <si>
    <t xml:space="preserve">Все данные вымышлены: сети обозначены буквами, объёмы, цены, курсы и макропоказатели синтетические.</t>
  </si>
  <si>
    <t xml:space="preserve">Книга не является отчётностью ГК «Дамате» и не может использоваться в работе.</t>
  </si>
  <si>
    <t xml:space="preserve">В данные сознательно внесены аномалии, пропуски и один дубль — их поиск является частью задания.</t>
  </si>
  <si>
    <t xml:space="preserve">Что внутри:</t>
  </si>
  <si>
    <t xml:space="preserve">  · «Продажи по сетям» — объём, выручка, средняя цена, промо и недопоставки по пяти сетям за 12 месяцев</t>
  </si>
  <si>
    <t xml:space="preserve">  · «Сезонность» — индекс сезонности по четырём видам мяса</t>
  </si>
  <si>
    <t xml:space="preserve">  · «Макро и цены» — курсы валют, индекс цен на корма, оптовые цены на индейку, курицу, свинину и говядину</t>
  </si>
  <si>
    <t xml:space="preserve">  · «Справочник» — единицы измерения и пояснения к столбцам</t>
  </si>
  <si>
    <t xml:space="preserve">Как использовать на практикуме: загрузите книгу в смарт-платформу и попросите разобрать цифры,</t>
  </si>
  <si>
    <t xml:space="preserve">найти аномалии, построить графики и собрать сводку для коммерческого комитета.</t>
  </si>
  <si>
    <t xml:space="preserve">Продажи продукции из индейки по торговым сетям, 2026 год</t>
  </si>
  <si>
    <t xml:space="preserve">Объём — тонны готовой продукции; выручка — млн ₽ без НДС; цена — ₽/кг; промо — доля объёма в акциях; недопоставка — % от заказа</t>
  </si>
  <si>
    <t xml:space="preserve">Месяц</t>
  </si>
  <si>
    <t xml:space="preserve">Сеть</t>
  </si>
  <si>
    <t xml:space="preserve">Объём, т</t>
  </si>
  <si>
    <t xml:space="preserve">Выручка, млн ₽</t>
  </si>
  <si>
    <t xml:space="preserve">Средняя цена, ₽/кг</t>
  </si>
  <si>
    <t xml:space="preserve">Промо, % объёма</t>
  </si>
  <si>
    <t xml:space="preserve">Недопоставка, %</t>
  </si>
  <si>
    <t xml:space="preserve">янв</t>
  </si>
  <si>
    <t xml:space="preserve">Сеть А</t>
  </si>
  <si>
    <t xml:space="preserve">Сеть Б</t>
  </si>
  <si>
    <t xml:space="preserve">Сеть В</t>
  </si>
  <si>
    <t xml:space="preserve">Сеть Г</t>
  </si>
  <si>
    <t xml:space="preserve">Сеть Д</t>
  </si>
  <si>
    <t xml:space="preserve">фев</t>
  </si>
  <si>
    <t xml:space="preserve">мар</t>
  </si>
  <si>
    <t xml:space="preserve">апр</t>
  </si>
  <si>
    <t xml:space="preserve">май</t>
  </si>
  <si>
    <t xml:space="preserve">июн</t>
  </si>
  <si>
    <t xml:space="preserve">июл</t>
  </si>
  <si>
    <t xml:space="preserve">авг</t>
  </si>
  <si>
    <t xml:space="preserve">сен</t>
  </si>
  <si>
    <t xml:space="preserve">окт</t>
  </si>
  <si>
    <t xml:space="preserve">ноя</t>
  </si>
  <si>
    <t xml:space="preserve">дек</t>
  </si>
  <si>
    <t xml:space="preserve">Итого за год</t>
  </si>
  <si>
    <t xml:space="preserve">Индекс сезонности спроса по видам мяса, 2026 год</t>
  </si>
  <si>
    <t xml:space="preserve">Индекс: 1,00 — среднегодовой уровень. Значения выше 1 — сезонный рост спроса</t>
  </si>
  <si>
    <t xml:space="preserve">Индейка</t>
  </si>
  <si>
    <t xml:space="preserve">Курица</t>
  </si>
  <si>
    <t xml:space="preserve">Свинина</t>
  </si>
  <si>
    <t xml:space="preserve">Говядина</t>
  </si>
  <si>
    <t xml:space="preserve">Среднее</t>
  </si>
  <si>
    <t xml:space="preserve">Источник: синтетические данные для практикума. Профили сезонности заданы вручную.</t>
  </si>
  <si>
    <t xml:space="preserve">Макропоказатели и оптовые цены на мясо, 2026 год</t>
  </si>
  <si>
    <t xml:space="preserve">Курсы — ₽ за единицу валюты на конец месяца; индекс корма — январь = 100; цены — ₽/кг без НДС, опт</t>
  </si>
  <si>
    <t xml:space="preserve">USD, ₽</t>
  </si>
  <si>
    <t xml:space="preserve">EUR, ₽</t>
  </si>
  <si>
    <t xml:space="preserve">CNY, ₽</t>
  </si>
  <si>
    <t xml:space="preserve">Индекс цен на корма</t>
  </si>
  <si>
    <t xml:space="preserve">Индейка, ₽/кг</t>
  </si>
  <si>
    <t xml:space="preserve">Курица, ₽/кг</t>
  </si>
  <si>
    <t xml:space="preserve">Свинина, ₽/кг</t>
  </si>
  <si>
    <t xml:space="preserve">Говядина, ₽/кг</t>
  </si>
  <si>
    <t xml:space="preserve">Рост за год, %</t>
  </si>
  <si>
    <t xml:space="preserve">Источник: синтетические данные для практикума. Реальные курсы и цены не использовались.</t>
  </si>
  <si>
    <t xml:space="preserve">Справочник столбцов и единиц измерения</t>
  </si>
  <si>
    <t xml:space="preserve">Лист</t>
  </si>
  <si>
    <t xml:space="preserve">Столбец</t>
  </si>
  <si>
    <t xml:space="preserve">Единица</t>
  </si>
  <si>
    <t xml:space="preserve">Пояснение</t>
  </si>
  <si>
    <t xml:space="preserve">Продажи по сетям</t>
  </si>
  <si>
    <t xml:space="preserve">Объём</t>
  </si>
  <si>
    <t xml:space="preserve">тонны</t>
  </si>
  <si>
    <t xml:space="preserve">Отгружено готовой продукции из индейки за месяц</t>
  </si>
  <si>
    <t xml:space="preserve">Выручка</t>
  </si>
  <si>
    <t xml:space="preserve">млн ₽</t>
  </si>
  <si>
    <t xml:space="preserve">Без НДС, по факту отгрузки</t>
  </si>
  <si>
    <t xml:space="preserve">Средняя цена</t>
  </si>
  <si>
    <t xml:space="preserve">₽/кг</t>
  </si>
  <si>
    <t xml:space="preserve">Выручка, делённая на объём</t>
  </si>
  <si>
    <t xml:space="preserve">Промо</t>
  </si>
  <si>
    <t xml:space="preserve">% объёма</t>
  </si>
  <si>
    <t xml:space="preserve">Доля объёма, отгруженного по промо-цене</t>
  </si>
  <si>
    <t xml:space="preserve">Недопоставка</t>
  </si>
  <si>
    <t xml:space="preserve">% от заказа</t>
  </si>
  <si>
    <t xml:space="preserve">Разница между заказом сети и фактом отгрузки</t>
  </si>
  <si>
    <t xml:space="preserve">Сезонность</t>
  </si>
  <si>
    <t xml:space="preserve">Индекс</t>
  </si>
  <si>
    <t xml:space="preserve">коэффициент</t>
  </si>
  <si>
    <t xml:space="preserve">1,00 — среднегодовой уровень спроса</t>
  </si>
  <si>
    <t xml:space="preserve">Макро и цены</t>
  </si>
  <si>
    <t xml:space="preserve">Курсы</t>
  </si>
  <si>
    <t xml:space="preserve">₽ за единицу</t>
  </si>
  <si>
    <t xml:space="preserve">На конец месяца</t>
  </si>
  <si>
    <t xml:space="preserve">январь = 100</t>
  </si>
  <si>
    <t xml:space="preserve">Сводный индекс закупочных цен на корма</t>
  </si>
  <si>
    <t xml:space="preserve">Цены на мясо</t>
  </si>
  <si>
    <t xml:space="preserve">₽/кг без НДС</t>
  </si>
  <si>
    <t xml:space="preserve">Оптовые цены, средние по рынку</t>
  </si>
  <si>
    <t xml:space="preserve">Учебные данные. Пропуски, выбросы и дубли внесены умышленно.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</si>
</sst>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"/>
    <numFmt numFmtId="166" formatCode="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EB7D00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4"/>
      <color rgb="FF092F57"/>
      <name val="Arial"/>
      <family val="0"/>
      <charset val="1"/>
    </font>
    <font>
      <sz val="9"/>
      <color rgb="FF6B728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92F57"/>
        <bgColor rgb="FF333333"/>
      </patternFill>
    </fill>
    <fill>
      <patternFill patternType="solid">
        <fgColor rgb="FFFDF0DE"/>
        <bgColor rgb="FFF0F2F5"/>
      </patternFill>
    </fill>
    <fill>
      <patternFill patternType="solid">
        <fgColor rgb="FFF0F2F5"/>
        <bgColor rgb="FFFDF0D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EE5"/>
      </left>
      <right style="thin">
        <color rgb="FFD9DEE5"/>
      </right>
      <top style="thin">
        <color rgb="FFD9DEE5"/>
      </top>
      <bottom style="thin">
        <color rgb="FFD9DEE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F0DE"/>
      <rgbColor rgb="FFF0F2F5"/>
      <rgbColor rgb="FF660066"/>
      <rgbColor rgb="FFFF8080"/>
      <rgbColor rgb="FF0066CC"/>
      <rgbColor rgb="FFD9DE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B7D00"/>
      <rgbColor rgb="FF6B7280"/>
      <rgbColor rgb="FF969696"/>
      <rgbColor rgb="FF092F57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/>
    </row>
    <row r="5" customFormat="false" ht="15" hidden="false" customHeight="false" outlineLevel="0" collapsed="false">
      <c r="A5" s="2" t="s">
        <v>2</v>
      </c>
    </row>
    <row r="6" customFormat="false" ht="15" hidden="false" customHeight="false" outlineLevel="0" collapsed="false">
      <c r="A6" s="2" t="s">
        <v>3</v>
      </c>
    </row>
    <row r="7" customFormat="false" ht="15" hidden="false" customHeight="false" outlineLevel="0" collapsed="false">
      <c r="A7" s="2" t="s">
        <v>4</v>
      </c>
    </row>
    <row r="8" customFormat="false" ht="15" hidden="false" customHeight="false" outlineLevel="0" collapsed="false">
      <c r="A8" s="2"/>
    </row>
    <row r="9" customFormat="false" ht="15" hidden="false" customHeight="false" outlineLevel="0" collapsed="false">
      <c r="A9" s="3" t="s">
        <v>5</v>
      </c>
    </row>
    <row r="10" customFormat="false" ht="15" hidden="false" customHeight="false" outlineLevel="0" collapsed="false">
      <c r="A10" s="2" t="s">
        <v>6</v>
      </c>
    </row>
    <row r="11" customFormat="false" ht="15" hidden="false" customHeight="false" outlineLevel="0" collapsed="false">
      <c r="A11" s="2" t="s">
        <v>7</v>
      </c>
    </row>
    <row r="12" customFormat="false" ht="15" hidden="false" customHeight="false" outlineLevel="0" collapsed="false">
      <c r="A12" s="2" t="s">
        <v>8</v>
      </c>
    </row>
    <row r="13" customFormat="false" ht="15" hidden="false" customHeight="false" outlineLevel="0" collapsed="false">
      <c r="A13" s="2" t="s">
        <v>9</v>
      </c>
    </row>
    <row r="14" customFormat="false" ht="15" hidden="false" customHeight="false" outlineLevel="0" collapsed="false">
      <c r="A14" s="2"/>
    </row>
    <row r="15" customFormat="false" ht="15" hidden="false" customHeight="false" outlineLevel="0" collapsed="false">
      <c r="A15" s="3" t="s">
        <v>10</v>
      </c>
    </row>
    <row r="16" customFormat="false" ht="15" hidden="false" customHeight="false" outlineLevel="0" collapsed="false">
      <c r="A16" s="2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6"/>
    <col collapsed="false" customWidth="true" hidden="false" outlineLevel="0" max="5" min="5" style="0" width="18"/>
    <col collapsed="false" customWidth="true" hidden="false" outlineLevel="0" max="7" min="6" style="0" width="16"/>
  </cols>
  <sheetData>
    <row r="1" customFormat="false" ht="17.35" hidden="false" customHeight="false" outlineLevel="0" collapsed="false">
      <c r="A1" s="4" t="s">
        <v>12</v>
      </c>
    </row>
    <row r="2" customFormat="false" ht="15" hidden="false" customHeight="false" outlineLevel="0" collapsed="false">
      <c r="A2" s="5" t="s">
        <v>13</v>
      </c>
    </row>
    <row r="4" customFormat="false" ht="30" hidden="false" customHeight="true" outlineLevel="0" collapsed="false">
      <c r="A4" s="6" t="s">
        <v>14</v>
      </c>
      <c r="B4" s="6" t="s">
        <v>15</v>
      </c>
      <c r="C4" s="6" t="s">
        <v>16</v>
      </c>
      <c r="D4" s="6" t="s">
        <v>17</v>
      </c>
      <c r="E4" s="6" t="s">
        <v>18</v>
      </c>
      <c r="F4" s="6" t="s">
        <v>19</v>
      </c>
      <c r="G4" s="6" t="s">
        <v>20</v>
      </c>
    </row>
    <row r="5" customFormat="false" ht="15" hidden="false" customHeight="false" outlineLevel="0" collapsed="false">
      <c r="A5" s="7" t="s">
        <v>21</v>
      </c>
      <c r="B5" s="8" t="s">
        <v>22</v>
      </c>
      <c r="C5" s="9" t="n">
        <v>428.4</v>
      </c>
      <c r="D5" s="9" t="n">
        <v>150.8</v>
      </c>
      <c r="E5" s="9" t="n">
        <v>352</v>
      </c>
      <c r="F5" s="9" t="n">
        <v>28</v>
      </c>
      <c r="G5" s="9" t="n">
        <v>1.8</v>
      </c>
    </row>
    <row r="6" customFormat="false" ht="15" hidden="false" customHeight="false" outlineLevel="0" collapsed="false">
      <c r="A6" s="7" t="s">
        <v>21</v>
      </c>
      <c r="B6" s="8" t="s">
        <v>23</v>
      </c>
      <c r="C6" s="9" t="n">
        <v>316.2</v>
      </c>
      <c r="D6" s="9" t="n">
        <v>115.73</v>
      </c>
      <c r="E6" s="9" t="n">
        <v>366</v>
      </c>
      <c r="F6" s="9" t="n">
        <v>22</v>
      </c>
      <c r="G6" s="9" t="n">
        <v>2.4</v>
      </c>
    </row>
    <row r="7" customFormat="false" ht="15" hidden="false" customHeight="false" outlineLevel="0" collapsed="false">
      <c r="A7" s="7" t="s">
        <v>21</v>
      </c>
      <c r="B7" s="8" t="s">
        <v>24</v>
      </c>
      <c r="C7" s="9" t="n">
        <v>183.6</v>
      </c>
      <c r="D7" s="9" t="n">
        <v>62.61</v>
      </c>
      <c r="E7" s="9" t="n">
        <v>341</v>
      </c>
      <c r="F7" s="9" t="n">
        <v>35</v>
      </c>
      <c r="G7" s="9" t="n">
        <v>3.1</v>
      </c>
    </row>
    <row r="8" customFormat="false" ht="15" hidden="false" customHeight="false" outlineLevel="0" collapsed="false">
      <c r="A8" s="7" t="s">
        <v>21</v>
      </c>
      <c r="B8" s="8" t="s">
        <v>25</v>
      </c>
      <c r="C8" s="9" t="n">
        <v>96.9</v>
      </c>
      <c r="D8" s="9" t="n">
        <v>37.6</v>
      </c>
      <c r="E8" s="9" t="n">
        <v>388</v>
      </c>
      <c r="F8" s="9" t="n">
        <v>12</v>
      </c>
      <c r="G8" s="9" t="n">
        <v>1.1</v>
      </c>
    </row>
    <row r="9" customFormat="false" ht="15" hidden="false" customHeight="false" outlineLevel="0" collapsed="false">
      <c r="A9" s="7" t="s">
        <v>21</v>
      </c>
      <c r="B9" s="8" t="s">
        <v>26</v>
      </c>
      <c r="C9" s="9" t="n">
        <v>61.2</v>
      </c>
      <c r="D9" s="9" t="n">
        <v>24.6</v>
      </c>
      <c r="E9" s="9" t="n">
        <v>402</v>
      </c>
      <c r="F9" s="9" t="n">
        <v>8</v>
      </c>
      <c r="G9" s="9" t="n">
        <v>0.7</v>
      </c>
    </row>
    <row r="10" customFormat="false" ht="15" hidden="false" customHeight="false" outlineLevel="0" collapsed="false">
      <c r="A10" s="7" t="s">
        <v>27</v>
      </c>
      <c r="B10" s="8" t="s">
        <v>22</v>
      </c>
      <c r="C10" s="9" t="n">
        <v>408</v>
      </c>
      <c r="D10" s="9" t="n">
        <v>144.76</v>
      </c>
      <c r="E10" s="9" t="n">
        <v>354.8</v>
      </c>
      <c r="F10" s="9" t="n">
        <v>28</v>
      </c>
      <c r="G10" s="9" t="n">
        <v>1.8</v>
      </c>
    </row>
    <row r="11" customFormat="false" ht="15" hidden="false" customHeight="false" outlineLevel="0" collapsed="false">
      <c r="A11" s="7" t="s">
        <v>27</v>
      </c>
      <c r="B11" s="8" t="s">
        <v>23</v>
      </c>
      <c r="C11" s="9" t="n">
        <v>301.2</v>
      </c>
      <c r="D11" s="9" t="n">
        <v>111.11</v>
      </c>
      <c r="E11" s="9" t="n">
        <v>368.9</v>
      </c>
      <c r="F11" s="9" t="n">
        <v>22</v>
      </c>
      <c r="G11" s="9" t="n">
        <v>2.4</v>
      </c>
    </row>
    <row r="12" customFormat="false" ht="15" hidden="false" customHeight="false" outlineLevel="0" collapsed="false">
      <c r="A12" s="7" t="s">
        <v>27</v>
      </c>
      <c r="B12" s="8" t="s">
        <v>24</v>
      </c>
      <c r="C12" s="9" t="n">
        <v>174.9</v>
      </c>
      <c r="D12" s="9" t="n">
        <v>60.11</v>
      </c>
      <c r="E12" s="9" t="n">
        <v>343.7</v>
      </c>
      <c r="F12" s="9" t="n">
        <v>35</v>
      </c>
      <c r="G12" s="9" t="n">
        <v>3.1</v>
      </c>
    </row>
    <row r="13" customFormat="false" ht="15" hidden="false" customHeight="false" outlineLevel="0" collapsed="false">
      <c r="A13" s="7" t="s">
        <v>27</v>
      </c>
      <c r="B13" s="8" t="s">
        <v>25</v>
      </c>
      <c r="C13" s="9" t="n">
        <v>92.3</v>
      </c>
      <c r="D13" s="9" t="n">
        <v>36.1</v>
      </c>
      <c r="E13" s="9" t="n">
        <v>391.1</v>
      </c>
      <c r="F13" s="9" t="n">
        <v>12</v>
      </c>
      <c r="G13" s="9" t="n">
        <v>1.1</v>
      </c>
    </row>
    <row r="14" customFormat="false" ht="15" hidden="false" customHeight="false" outlineLevel="0" collapsed="false">
      <c r="A14" s="7" t="s">
        <v>27</v>
      </c>
      <c r="B14" s="8" t="s">
        <v>26</v>
      </c>
      <c r="C14" s="9" t="n">
        <v>58.3</v>
      </c>
      <c r="D14" s="9" t="n">
        <v>23.62</v>
      </c>
      <c r="E14" s="9" t="n">
        <v>405.2</v>
      </c>
      <c r="F14" s="9" t="n">
        <v>8</v>
      </c>
      <c r="G14" s="9" t="n">
        <v>0.7</v>
      </c>
    </row>
    <row r="15" customFormat="false" ht="15" hidden="false" customHeight="false" outlineLevel="0" collapsed="false">
      <c r="A15" s="7" t="s">
        <v>28</v>
      </c>
      <c r="B15" s="8" t="s">
        <v>22</v>
      </c>
      <c r="C15" s="9" t="n">
        <v>430.1</v>
      </c>
      <c r="D15" s="9" t="n">
        <v>153.8</v>
      </c>
      <c r="E15" s="9" t="n">
        <v>357.6</v>
      </c>
      <c r="F15" s="9" t="n">
        <v>28</v>
      </c>
      <c r="G15" s="9" t="n">
        <v>1.8</v>
      </c>
    </row>
    <row r="16" customFormat="false" ht="15" hidden="false" customHeight="false" outlineLevel="0" collapsed="false">
      <c r="A16" s="7" t="s">
        <v>28</v>
      </c>
      <c r="B16" s="8" t="s">
        <v>23</v>
      </c>
      <c r="C16" s="9" t="n">
        <v>317.4</v>
      </c>
      <c r="D16" s="9" t="n">
        <v>118.04</v>
      </c>
      <c r="E16" s="9" t="n">
        <v>371.9</v>
      </c>
      <c r="F16" s="9" t="n">
        <v>22</v>
      </c>
      <c r="G16" s="9" t="n">
        <v>2.4</v>
      </c>
    </row>
    <row r="17" customFormat="false" ht="15" hidden="false" customHeight="false" outlineLevel="0" collapsed="false">
      <c r="A17" s="7" t="s">
        <v>28</v>
      </c>
      <c r="B17" s="8" t="s">
        <v>24</v>
      </c>
      <c r="C17" s="9" t="n">
        <v>184.3</v>
      </c>
      <c r="D17" s="9" t="n">
        <v>63.86</v>
      </c>
      <c r="E17" s="9" t="n">
        <v>346.5</v>
      </c>
      <c r="F17" s="9" t="n">
        <v>35</v>
      </c>
      <c r="G17" s="9" t="n">
        <v>3.1</v>
      </c>
    </row>
    <row r="18" customFormat="false" ht="15" hidden="false" customHeight="false" outlineLevel="0" collapsed="false">
      <c r="A18" s="7" t="s">
        <v>28</v>
      </c>
      <c r="B18" s="8" t="s">
        <v>25</v>
      </c>
      <c r="C18" s="9" t="n">
        <v>97.3</v>
      </c>
      <c r="D18" s="9" t="n">
        <v>38.36</v>
      </c>
      <c r="E18" s="9" t="n">
        <v>394.2</v>
      </c>
      <c r="F18" s="9" t="n">
        <v>12</v>
      </c>
      <c r="G18" s="9" t="n">
        <v>1.1</v>
      </c>
    </row>
    <row r="19" customFormat="false" ht="15" hidden="false" customHeight="false" outlineLevel="0" collapsed="false">
      <c r="A19" s="7" t="s">
        <v>28</v>
      </c>
      <c r="B19" s="8" t="s">
        <v>26</v>
      </c>
      <c r="C19" s="9" t="n">
        <v>61.4</v>
      </c>
      <c r="D19" s="9" t="n">
        <v>25.08</v>
      </c>
      <c r="E19" s="9" t="n">
        <v>408.4</v>
      </c>
      <c r="F19" s="9" t="n">
        <v>8</v>
      </c>
      <c r="G19" s="9" t="n">
        <v>0.7</v>
      </c>
    </row>
    <row r="20" customFormat="false" ht="15" hidden="false" customHeight="false" outlineLevel="0" collapsed="false">
      <c r="A20" s="7" t="s">
        <v>29</v>
      </c>
      <c r="B20" s="8" t="s">
        <v>22</v>
      </c>
      <c r="C20" s="9" t="n">
        <v>426.4</v>
      </c>
      <c r="D20" s="9" t="n">
        <v>153.67</v>
      </c>
      <c r="E20" s="9" t="n">
        <v>360.4</v>
      </c>
      <c r="F20" s="9" t="n">
        <v>28</v>
      </c>
      <c r="G20" s="9" t="n">
        <v>1.8</v>
      </c>
    </row>
    <row r="21" customFormat="false" ht="15" hidden="false" customHeight="false" outlineLevel="0" collapsed="false">
      <c r="A21" s="7" t="s">
        <v>29</v>
      </c>
      <c r="B21" s="8" t="s">
        <v>23</v>
      </c>
      <c r="C21" s="9" t="n">
        <v>314.7</v>
      </c>
      <c r="D21" s="9" t="n">
        <v>117.95</v>
      </c>
      <c r="E21" s="9" t="n">
        <v>374.8</v>
      </c>
      <c r="F21" s="9" t="n">
        <v>22</v>
      </c>
      <c r="G21" s="9" t="n">
        <v>2.4</v>
      </c>
    </row>
    <row r="22" customFormat="false" ht="15" hidden="false" customHeight="false" outlineLevel="0" collapsed="false">
      <c r="A22" s="7" t="s">
        <v>29</v>
      </c>
      <c r="B22" s="8" t="s">
        <v>24</v>
      </c>
      <c r="C22" s="9" t="n">
        <v>182.8</v>
      </c>
      <c r="D22" s="9" t="n">
        <v>63.83</v>
      </c>
      <c r="E22" s="9" t="n">
        <v>349.2</v>
      </c>
      <c r="F22" s="9" t="n">
        <v>35</v>
      </c>
      <c r="G22" s="9" t="n">
        <v>3.1</v>
      </c>
    </row>
    <row r="23" customFormat="false" ht="15" hidden="false" customHeight="false" outlineLevel="0" collapsed="false">
      <c r="A23" s="7" t="s">
        <v>29</v>
      </c>
      <c r="B23" s="8" t="s">
        <v>25</v>
      </c>
      <c r="C23" s="9" t="n">
        <v>96.5</v>
      </c>
      <c r="D23" s="9" t="n">
        <v>38.34</v>
      </c>
      <c r="E23" s="9" t="n">
        <v>397.3</v>
      </c>
      <c r="F23" s="9" t="n">
        <v>12</v>
      </c>
      <c r="G23" s="9" t="n">
        <v>1.1</v>
      </c>
    </row>
    <row r="24" customFormat="false" ht="15" hidden="false" customHeight="false" outlineLevel="0" collapsed="false">
      <c r="A24" s="7" t="s">
        <v>29</v>
      </c>
      <c r="B24" s="8" t="s">
        <v>26</v>
      </c>
      <c r="C24" s="9" t="n">
        <v>60.9</v>
      </c>
      <c r="D24" s="9" t="n">
        <v>25.07</v>
      </c>
      <c r="E24" s="9" t="n">
        <v>411.6</v>
      </c>
      <c r="F24" s="9" t="n">
        <v>8</v>
      </c>
      <c r="G24" s="9" t="n">
        <v>0.7</v>
      </c>
    </row>
    <row r="25" customFormat="false" ht="15" hidden="false" customHeight="false" outlineLevel="0" collapsed="false">
      <c r="A25" s="7" t="s">
        <v>30</v>
      </c>
      <c r="B25" s="8" t="s">
        <v>22</v>
      </c>
      <c r="C25" s="9" t="n">
        <v>457.8</v>
      </c>
      <c r="D25" s="9" t="n">
        <v>166.32</v>
      </c>
      <c r="E25" s="9" t="n">
        <v>363.3</v>
      </c>
      <c r="F25" s="9" t="n">
        <v>28</v>
      </c>
      <c r="G25" s="9" t="n">
        <v>1.8</v>
      </c>
    </row>
    <row r="26" customFormat="false" ht="15" hidden="false" customHeight="false" outlineLevel="0" collapsed="false">
      <c r="A26" s="7" t="s">
        <v>30</v>
      </c>
      <c r="B26" s="8" t="s">
        <v>23</v>
      </c>
      <c r="C26" s="9" t="n">
        <v>337.9</v>
      </c>
      <c r="D26" s="9" t="n">
        <v>127.62</v>
      </c>
      <c r="E26" s="9" t="n">
        <v>377.7</v>
      </c>
      <c r="F26" s="9" t="n">
        <v>22</v>
      </c>
      <c r="G26" s="9" t="n">
        <v>2.4</v>
      </c>
    </row>
    <row r="27" customFormat="false" ht="15" hidden="false" customHeight="false" outlineLevel="0" collapsed="false">
      <c r="A27" s="7" t="s">
        <v>30</v>
      </c>
      <c r="B27" s="8" t="s">
        <v>24</v>
      </c>
      <c r="C27" s="9" t="n">
        <v>196.2</v>
      </c>
      <c r="D27" s="9" t="n">
        <v>69.04</v>
      </c>
      <c r="E27" s="9" t="n">
        <v>351.9</v>
      </c>
      <c r="F27" s="9" t="n">
        <v>35</v>
      </c>
      <c r="G27" s="9" t="n">
        <v>3.1</v>
      </c>
    </row>
    <row r="28" customFormat="false" ht="15" hidden="false" customHeight="false" outlineLevel="0" collapsed="false">
      <c r="A28" s="7" t="s">
        <v>30</v>
      </c>
      <c r="B28" s="8" t="s">
        <v>25</v>
      </c>
      <c r="C28" s="9" t="n">
        <v>103.5</v>
      </c>
      <c r="D28" s="9" t="n">
        <v>41.44</v>
      </c>
      <c r="E28" s="9" t="n">
        <v>400.4</v>
      </c>
      <c r="F28" s="9" t="n">
        <v>12</v>
      </c>
      <c r="G28" s="9" t="n">
        <v>14.6</v>
      </c>
    </row>
    <row r="29" customFormat="false" ht="15" hidden="false" customHeight="false" outlineLevel="0" collapsed="false">
      <c r="A29" s="7" t="s">
        <v>30</v>
      </c>
      <c r="B29" s="8" t="s">
        <v>26</v>
      </c>
      <c r="C29" s="9" t="n">
        <v>65.4</v>
      </c>
      <c r="D29" s="9" t="n">
        <v>27.13</v>
      </c>
      <c r="E29" s="9" t="n">
        <v>414.9</v>
      </c>
      <c r="F29" s="9" t="n">
        <v>8</v>
      </c>
      <c r="G29" s="9" t="n">
        <v>0.7</v>
      </c>
    </row>
    <row r="30" customFormat="false" ht="15" hidden="false" customHeight="false" outlineLevel="0" collapsed="false">
      <c r="A30" s="7" t="s">
        <v>31</v>
      </c>
      <c r="B30" s="8" t="s">
        <v>22</v>
      </c>
      <c r="C30" s="9" t="n">
        <v>409.6</v>
      </c>
      <c r="D30" s="9" t="n">
        <v>149.95</v>
      </c>
      <c r="E30" s="9" t="n">
        <v>366.1</v>
      </c>
      <c r="F30" s="9" t="n">
        <v>28</v>
      </c>
      <c r="G30" s="9" t="n">
        <v>1.8</v>
      </c>
    </row>
    <row r="31" customFormat="false" ht="15" hidden="false" customHeight="false" outlineLevel="0" collapsed="false">
      <c r="A31" s="7" t="s">
        <v>31</v>
      </c>
      <c r="B31" s="8" t="s">
        <v>23</v>
      </c>
      <c r="C31" s="9" t="n">
        <v>302.3</v>
      </c>
      <c r="D31" s="9" t="n">
        <v>115.06</v>
      </c>
      <c r="E31" s="9" t="n">
        <v>380.6</v>
      </c>
      <c r="F31" s="9" t="n">
        <v>22</v>
      </c>
      <c r="G31" s="9" t="n">
        <v>2.4</v>
      </c>
    </row>
    <row r="32" customFormat="false" ht="15" hidden="false" customHeight="false" outlineLevel="0" collapsed="false">
      <c r="A32" s="7" t="s">
        <v>31</v>
      </c>
      <c r="B32" s="8" t="s">
        <v>24</v>
      </c>
      <c r="C32" s="9" t="n">
        <v>175.5</v>
      </c>
      <c r="D32" s="9" t="n">
        <v>62.23</v>
      </c>
      <c r="E32" s="9" t="n">
        <v>354.6</v>
      </c>
      <c r="F32" s="9" t="n">
        <v>35</v>
      </c>
      <c r="G32" s="9" t="n">
        <v>3.1</v>
      </c>
    </row>
    <row r="33" customFormat="false" ht="15" hidden="false" customHeight="false" outlineLevel="0" collapsed="false">
      <c r="A33" s="7" t="s">
        <v>31</v>
      </c>
      <c r="B33" s="8" t="s">
        <v>25</v>
      </c>
      <c r="C33" s="9" t="n">
        <v>92.6</v>
      </c>
      <c r="D33" s="9" t="n">
        <v>37.36</v>
      </c>
      <c r="E33" s="9" t="n">
        <v>403.5</v>
      </c>
      <c r="F33" s="9" t="n">
        <v>12</v>
      </c>
      <c r="G33" s="9" t="n">
        <v>1.1</v>
      </c>
    </row>
    <row r="34" customFormat="false" ht="15" hidden="false" customHeight="false" outlineLevel="0" collapsed="false">
      <c r="A34" s="7" t="s">
        <v>31</v>
      </c>
      <c r="B34" s="8" t="s">
        <v>26</v>
      </c>
      <c r="C34" s="9" t="n">
        <v>58.5</v>
      </c>
      <c r="D34" s="9" t="n">
        <v>24.46</v>
      </c>
      <c r="E34" s="9" t="n">
        <v>418.1</v>
      </c>
      <c r="F34" s="9" t="n">
        <v>8</v>
      </c>
      <c r="G34" s="9" t="n">
        <v>0.7</v>
      </c>
    </row>
    <row r="35" customFormat="false" ht="15" hidden="false" customHeight="false" outlineLevel="0" collapsed="false">
      <c r="A35" s="7" t="s">
        <v>32</v>
      </c>
      <c r="B35" s="8" t="s">
        <v>22</v>
      </c>
      <c r="C35" s="9" t="n">
        <v>387.2</v>
      </c>
      <c r="D35" s="9" t="n">
        <v>142.84</v>
      </c>
      <c r="E35" s="9" t="n">
        <v>368.9</v>
      </c>
      <c r="F35" s="9" t="n">
        <v>28</v>
      </c>
      <c r="G35" s="9" t="n">
        <v>1.8</v>
      </c>
    </row>
    <row r="36" customFormat="false" ht="15" hidden="false" customHeight="false" outlineLevel="0" collapsed="false">
      <c r="A36" s="7" t="s">
        <v>32</v>
      </c>
      <c r="B36" s="8" t="s">
        <v>23</v>
      </c>
      <c r="C36" s="9" t="n">
        <v>285.8</v>
      </c>
      <c r="D36" s="9" t="n">
        <v>109.63</v>
      </c>
      <c r="E36" s="9" t="n">
        <v>383.6</v>
      </c>
      <c r="F36" s="9" t="n">
        <v>22</v>
      </c>
      <c r="G36" s="9" t="n">
        <v>2.4</v>
      </c>
    </row>
    <row r="37" customFormat="false" ht="15" hidden="false" customHeight="false" outlineLevel="0" collapsed="false">
      <c r="A37" s="7" t="s">
        <v>32</v>
      </c>
      <c r="B37" s="8" t="s">
        <v>24</v>
      </c>
      <c r="C37" s="9" t="n">
        <v>165.9</v>
      </c>
      <c r="D37" s="9" t="n">
        <v>48.63</v>
      </c>
      <c r="E37" s="9" t="n">
        <v>293.1</v>
      </c>
      <c r="F37" s="9" t="n">
        <v>61</v>
      </c>
      <c r="G37" s="9" t="n">
        <v>3.1</v>
      </c>
    </row>
    <row r="38" customFormat="false" ht="15" hidden="false" customHeight="false" outlineLevel="0" collapsed="false">
      <c r="A38" s="7" t="s">
        <v>32</v>
      </c>
      <c r="B38" s="8" t="s">
        <v>25</v>
      </c>
      <c r="C38" s="9" t="n">
        <v>87.6</v>
      </c>
      <c r="D38" s="9" t="n">
        <v>35.62</v>
      </c>
      <c r="E38" s="9" t="n">
        <v>406.6</v>
      </c>
      <c r="F38" s="9" t="n">
        <v>12</v>
      </c>
      <c r="G38" s="9" t="n">
        <v>1.1</v>
      </c>
    </row>
    <row r="39" customFormat="false" ht="15" hidden="false" customHeight="false" outlineLevel="0" collapsed="false">
      <c r="A39" s="7" t="s">
        <v>32</v>
      </c>
      <c r="B39" s="8" t="s">
        <v>26</v>
      </c>
      <c r="C39" s="9" t="n">
        <v>55.3</v>
      </c>
      <c r="D39" s="9" t="n">
        <v>23.3</v>
      </c>
      <c r="E39" s="9" t="n">
        <v>421.3</v>
      </c>
      <c r="F39" s="9" t="n">
        <v>8</v>
      </c>
      <c r="G39" s="9" t="n">
        <v>0.7</v>
      </c>
    </row>
    <row r="40" customFormat="false" ht="15" hidden="false" customHeight="false" outlineLevel="0" collapsed="false">
      <c r="A40" s="7" t="s">
        <v>33</v>
      </c>
      <c r="B40" s="8" t="s">
        <v>22</v>
      </c>
      <c r="C40" s="9" t="n">
        <v>400.6</v>
      </c>
      <c r="D40" s="9" t="n">
        <v>148.9</v>
      </c>
      <c r="E40" s="9" t="n">
        <v>371.7</v>
      </c>
      <c r="F40" s="9" t="n">
        <v>28</v>
      </c>
      <c r="G40" s="9" t="n">
        <v>1.8</v>
      </c>
    </row>
    <row r="41" customFormat="false" ht="15" hidden="false" customHeight="false" outlineLevel="0" collapsed="false">
      <c r="A41" s="7" t="s">
        <v>33</v>
      </c>
      <c r="B41" s="8" t="s">
        <v>23</v>
      </c>
      <c r="C41" s="9" t="n">
        <v>295.7</v>
      </c>
      <c r="D41" s="9" t="n">
        <v>114.29</v>
      </c>
      <c r="E41" s="9" t="n">
        <v>386.5</v>
      </c>
      <c r="F41" s="9" t="n">
        <v>22</v>
      </c>
      <c r="G41" s="9" t="n">
        <v>2.4</v>
      </c>
    </row>
    <row r="42" customFormat="false" ht="15" hidden="false" customHeight="false" outlineLevel="0" collapsed="false">
      <c r="A42" s="7" t="s">
        <v>33</v>
      </c>
      <c r="B42" s="8" t="s">
        <v>24</v>
      </c>
      <c r="C42" s="9" t="n">
        <v>171.7</v>
      </c>
      <c r="D42" s="9" t="n">
        <v>50.7</v>
      </c>
      <c r="E42" s="9" t="n">
        <v>295.3</v>
      </c>
      <c r="F42" s="9" t="n">
        <v>61</v>
      </c>
      <c r="G42" s="9" t="n">
        <v>3.1</v>
      </c>
    </row>
    <row r="43" customFormat="false" ht="15" hidden="false" customHeight="false" outlineLevel="0" collapsed="false">
      <c r="A43" s="7" t="s">
        <v>33</v>
      </c>
      <c r="B43" s="8" t="s">
        <v>25</v>
      </c>
      <c r="C43" s="9" t="n">
        <v>90.6</v>
      </c>
      <c r="D43" s="9" t="n">
        <v>37.12</v>
      </c>
      <c r="E43" s="9" t="n">
        <v>409.7</v>
      </c>
      <c r="F43" s="9" t="n">
        <v>12</v>
      </c>
      <c r="G43" s="9" t="n">
        <v>1.1</v>
      </c>
    </row>
    <row r="44" customFormat="false" ht="15" hidden="false" customHeight="false" outlineLevel="0" collapsed="false">
      <c r="A44" s="7" t="s">
        <v>33</v>
      </c>
      <c r="B44" s="8" t="s">
        <v>26</v>
      </c>
      <c r="C44" s="9" t="n">
        <v>57.2</v>
      </c>
      <c r="D44" s="9" t="n">
        <v>24.28</v>
      </c>
      <c r="E44" s="9" t="n">
        <v>424.5</v>
      </c>
      <c r="F44" s="9" t="n">
        <v>8</v>
      </c>
      <c r="G44" s="9" t="n">
        <v>0.7</v>
      </c>
    </row>
    <row r="45" customFormat="false" ht="15" hidden="false" customHeight="false" outlineLevel="0" collapsed="false">
      <c r="A45" s="7" t="s">
        <v>34</v>
      </c>
      <c r="B45" s="8" t="s">
        <v>22</v>
      </c>
      <c r="C45" s="9" t="n">
        <v>474.1</v>
      </c>
      <c r="D45" s="9" t="n">
        <v>177.55</v>
      </c>
      <c r="E45" s="9" t="n">
        <v>374.5</v>
      </c>
      <c r="F45" s="9" t="n">
        <v>28</v>
      </c>
      <c r="G45" s="9" t="n">
        <v>1.8</v>
      </c>
    </row>
    <row r="46" customFormat="false" ht="15" hidden="false" customHeight="false" outlineLevel="0" collapsed="false">
      <c r="A46" s="7" t="s">
        <v>34</v>
      </c>
      <c r="B46" s="8" t="s">
        <v>23</v>
      </c>
      <c r="C46" s="9" t="n">
        <v>252</v>
      </c>
      <c r="D46" s="9" t="n">
        <v>98.13</v>
      </c>
      <c r="E46" s="9" t="n">
        <v>389.4</v>
      </c>
      <c r="F46" s="9" t="n">
        <v>22</v>
      </c>
      <c r="G46" s="9" t="n">
        <v>2.4</v>
      </c>
    </row>
    <row r="47" customFormat="false" ht="15" hidden="false" customHeight="false" outlineLevel="0" collapsed="false">
      <c r="A47" s="7" t="s">
        <v>34</v>
      </c>
      <c r="B47" s="8" t="s">
        <v>24</v>
      </c>
      <c r="C47" s="9" t="n">
        <v>203.2</v>
      </c>
      <c r="D47" s="9" t="n">
        <v>73.72</v>
      </c>
      <c r="E47" s="9" t="n">
        <v>362.8</v>
      </c>
      <c r="F47" s="9" t="n">
        <v>35</v>
      </c>
      <c r="G47" s="9" t="n">
        <v>3.1</v>
      </c>
    </row>
    <row r="48" customFormat="false" ht="15" hidden="false" customHeight="false" outlineLevel="0" collapsed="false">
      <c r="A48" s="7" t="s">
        <v>34</v>
      </c>
      <c r="B48" s="8" t="s">
        <v>25</v>
      </c>
      <c r="C48" s="9" t="n">
        <v>107.2</v>
      </c>
      <c r="D48" s="9" t="n">
        <v>44.25</v>
      </c>
      <c r="E48" s="9" t="n">
        <v>412.8</v>
      </c>
      <c r="F48" s="9" t="n">
        <v>12</v>
      </c>
      <c r="G48" s="9" t="n">
        <v>1.1</v>
      </c>
    </row>
    <row r="49" customFormat="false" ht="15" hidden="false" customHeight="false" outlineLevel="0" collapsed="false">
      <c r="A49" s="7" t="s">
        <v>34</v>
      </c>
      <c r="B49" s="8" t="s">
        <v>26</v>
      </c>
      <c r="C49" s="9" t="n">
        <v>67.7</v>
      </c>
      <c r="D49" s="9" t="n">
        <v>28.96</v>
      </c>
      <c r="E49" s="9" t="n">
        <v>427.7</v>
      </c>
      <c r="F49" s="9" t="n">
        <v>8</v>
      </c>
      <c r="G49" s="9" t="n">
        <v>0.7</v>
      </c>
    </row>
    <row r="50" customFormat="false" ht="15" hidden="false" customHeight="false" outlineLevel="0" collapsed="false">
      <c r="A50" s="7" t="s">
        <v>35</v>
      </c>
      <c r="B50" s="8" t="s">
        <v>22</v>
      </c>
      <c r="C50" s="9" t="n">
        <v>502.6</v>
      </c>
      <c r="D50" s="9" t="n">
        <v>189.63</v>
      </c>
      <c r="E50" s="9" t="n">
        <v>377.3</v>
      </c>
      <c r="F50" s="9" t="n">
        <v>28</v>
      </c>
      <c r="G50" s="9" t="n">
        <v>1.8</v>
      </c>
    </row>
    <row r="51" customFormat="false" ht="15" hidden="false" customHeight="false" outlineLevel="0" collapsed="false">
      <c r="A51" s="7" t="s">
        <v>35</v>
      </c>
      <c r="B51" s="8" t="s">
        <v>23</v>
      </c>
      <c r="C51" s="9" t="n">
        <v>267.1</v>
      </c>
      <c r="D51" s="9" t="n">
        <v>104.81</v>
      </c>
      <c r="E51" s="9" t="n">
        <v>392.4</v>
      </c>
      <c r="F51" s="9" t="n">
        <v>22</v>
      </c>
      <c r="G51" s="9" t="n">
        <v>2.4</v>
      </c>
    </row>
    <row r="52" customFormat="false" ht="15" hidden="false" customHeight="false" outlineLevel="0" collapsed="false">
      <c r="A52" s="7" t="s">
        <v>35</v>
      </c>
      <c r="B52" s="8" t="s">
        <v>24</v>
      </c>
      <c r="C52" s="9" t="n">
        <v>215.4</v>
      </c>
      <c r="D52" s="9" t="n">
        <v>78.75</v>
      </c>
      <c r="E52" s="9" t="n">
        <v>365.6</v>
      </c>
      <c r="F52" s="9" t="n">
        <v>35</v>
      </c>
      <c r="G52" s="9" t="n">
        <v>3.1</v>
      </c>
    </row>
    <row r="53" customFormat="false" ht="15" hidden="false" customHeight="false" outlineLevel="0" collapsed="false">
      <c r="A53" s="7" t="s">
        <v>35</v>
      </c>
      <c r="B53" s="8" t="s">
        <v>25</v>
      </c>
      <c r="C53" s="9" t="n">
        <v>113.7</v>
      </c>
      <c r="D53" s="9" t="n">
        <v>47.29</v>
      </c>
      <c r="E53" s="9" t="n">
        <v>415.9</v>
      </c>
      <c r="F53" s="9" t="n">
        <v>12</v>
      </c>
      <c r="G53" s="9" t="n">
        <v>1.1</v>
      </c>
    </row>
    <row r="54" customFormat="false" ht="15" hidden="false" customHeight="false" outlineLevel="0" collapsed="false">
      <c r="A54" s="7" t="s">
        <v>35</v>
      </c>
      <c r="B54" s="8" t="s">
        <v>26</v>
      </c>
      <c r="C54" s="8"/>
      <c r="D54" s="8"/>
      <c r="E54" s="8"/>
      <c r="F54" s="9" t="n">
        <v>8</v>
      </c>
      <c r="G54" s="9" t="n">
        <v>0.7</v>
      </c>
    </row>
    <row r="55" customFormat="false" ht="15" hidden="false" customHeight="false" outlineLevel="0" collapsed="false">
      <c r="A55" s="7" t="s">
        <v>36</v>
      </c>
      <c r="B55" s="8" t="s">
        <v>22</v>
      </c>
      <c r="C55" s="9" t="n">
        <v>526.8</v>
      </c>
      <c r="D55" s="9" t="n">
        <v>200.29</v>
      </c>
      <c r="E55" s="9" t="n">
        <v>380.2</v>
      </c>
      <c r="F55" s="9" t="n">
        <v>28</v>
      </c>
      <c r="G55" s="9" t="n">
        <v>1.8</v>
      </c>
    </row>
    <row r="56" customFormat="false" ht="15" hidden="false" customHeight="false" outlineLevel="0" collapsed="false">
      <c r="A56" s="7" t="s">
        <v>36</v>
      </c>
      <c r="B56" s="8" t="s">
        <v>23</v>
      </c>
      <c r="C56" s="9" t="n">
        <v>280</v>
      </c>
      <c r="D56" s="9" t="n">
        <v>110.68</v>
      </c>
      <c r="E56" s="9" t="n">
        <v>395.3</v>
      </c>
      <c r="F56" s="9" t="n">
        <v>22</v>
      </c>
      <c r="G56" s="9" t="n">
        <v>2.4</v>
      </c>
    </row>
    <row r="57" customFormat="false" ht="15" hidden="false" customHeight="false" outlineLevel="0" collapsed="false">
      <c r="A57" s="7" t="s">
        <v>36</v>
      </c>
      <c r="B57" s="8" t="s">
        <v>24</v>
      </c>
      <c r="C57" s="9" t="n">
        <v>225.8</v>
      </c>
      <c r="D57" s="9" t="n">
        <v>83.16</v>
      </c>
      <c r="E57" s="9" t="n">
        <v>368.3</v>
      </c>
      <c r="F57" s="9" t="n">
        <v>35</v>
      </c>
      <c r="G57" s="9" t="n">
        <v>3.1</v>
      </c>
    </row>
    <row r="58" customFormat="false" ht="15" hidden="false" customHeight="false" outlineLevel="0" collapsed="false">
      <c r="A58" s="7" t="s">
        <v>36</v>
      </c>
      <c r="B58" s="8" t="s">
        <v>25</v>
      </c>
      <c r="C58" s="9" t="n">
        <v>119.2</v>
      </c>
      <c r="D58" s="9" t="n">
        <v>49.94</v>
      </c>
      <c r="E58" s="9" t="n">
        <v>419</v>
      </c>
      <c r="F58" s="9" t="n">
        <v>12</v>
      </c>
      <c r="G58" s="9" t="n">
        <v>1.1</v>
      </c>
    </row>
    <row r="59" customFormat="false" ht="15" hidden="false" customHeight="false" outlineLevel="0" collapsed="false">
      <c r="A59" s="7" t="s">
        <v>36</v>
      </c>
      <c r="B59" s="8" t="s">
        <v>26</v>
      </c>
      <c r="C59" s="9" t="n">
        <v>75.3</v>
      </c>
      <c r="D59" s="9" t="n">
        <v>32.7</v>
      </c>
      <c r="E59" s="9" t="n">
        <v>434.2</v>
      </c>
      <c r="F59" s="9" t="n">
        <v>8</v>
      </c>
      <c r="G59" s="9" t="n">
        <v>0.7</v>
      </c>
    </row>
    <row r="60" customFormat="false" ht="15" hidden="false" customHeight="false" outlineLevel="0" collapsed="false">
      <c r="A60" s="7" t="s">
        <v>37</v>
      </c>
      <c r="B60" s="8" t="s">
        <v>22</v>
      </c>
      <c r="C60" s="9" t="n">
        <v>599.1</v>
      </c>
      <c r="D60" s="9" t="n">
        <v>229.46</v>
      </c>
      <c r="E60" s="9" t="n">
        <v>383</v>
      </c>
      <c r="F60" s="9" t="n">
        <v>28</v>
      </c>
      <c r="G60" s="9" t="n">
        <v>1.8</v>
      </c>
    </row>
    <row r="61" customFormat="false" ht="15" hidden="false" customHeight="false" outlineLevel="0" collapsed="false">
      <c r="A61" s="7" t="s">
        <v>37</v>
      </c>
      <c r="B61" s="8" t="s">
        <v>23</v>
      </c>
      <c r="C61" s="9" t="n">
        <v>318.4</v>
      </c>
      <c r="D61" s="9" t="n">
        <v>126.79</v>
      </c>
      <c r="E61" s="9" t="n">
        <v>398.2</v>
      </c>
      <c r="F61" s="9" t="n">
        <v>22</v>
      </c>
      <c r="G61" s="9" t="n">
        <v>2.4</v>
      </c>
    </row>
    <row r="62" customFormat="false" ht="15" hidden="false" customHeight="false" outlineLevel="0" collapsed="false">
      <c r="A62" s="7" t="s">
        <v>37</v>
      </c>
      <c r="B62" s="8" t="s">
        <v>24</v>
      </c>
      <c r="C62" s="9" t="n">
        <v>256.7</v>
      </c>
      <c r="D62" s="9" t="n">
        <v>95.24</v>
      </c>
      <c r="E62" s="9" t="n">
        <v>371</v>
      </c>
      <c r="F62" s="9" t="n">
        <v>35</v>
      </c>
      <c r="G62" s="9" t="n">
        <v>3.1</v>
      </c>
    </row>
    <row r="63" customFormat="false" ht="15" hidden="false" customHeight="false" outlineLevel="0" collapsed="false">
      <c r="A63" s="7" t="s">
        <v>37</v>
      </c>
      <c r="B63" s="8" t="s">
        <v>25</v>
      </c>
      <c r="C63" s="9" t="n">
        <v>135.5</v>
      </c>
      <c r="D63" s="9" t="n">
        <v>57.19</v>
      </c>
      <c r="E63" s="9" t="n">
        <v>422.1</v>
      </c>
      <c r="F63" s="9" t="n">
        <v>12</v>
      </c>
      <c r="G63" s="9" t="n">
        <v>1.1</v>
      </c>
    </row>
    <row r="64" customFormat="false" ht="15" hidden="false" customHeight="false" outlineLevel="0" collapsed="false">
      <c r="A64" s="7" t="s">
        <v>37</v>
      </c>
      <c r="B64" s="8" t="s">
        <v>26</v>
      </c>
      <c r="C64" s="9" t="n">
        <v>85.6</v>
      </c>
      <c r="D64" s="9" t="n">
        <v>37.44</v>
      </c>
      <c r="E64" s="9" t="n">
        <v>437.4</v>
      </c>
      <c r="F64" s="9" t="n">
        <v>8</v>
      </c>
      <c r="G64" s="9" t="n">
        <v>0.7</v>
      </c>
    </row>
    <row r="65" customFormat="false" ht="15" hidden="false" customHeight="false" outlineLevel="0" collapsed="false">
      <c r="A65" s="7" t="s">
        <v>37</v>
      </c>
      <c r="B65" s="8" t="s">
        <v>22</v>
      </c>
      <c r="C65" s="9" t="n">
        <v>599.1</v>
      </c>
      <c r="D65" s="9" t="n">
        <v>229.26</v>
      </c>
      <c r="E65" s="9" t="n">
        <v>382.7</v>
      </c>
      <c r="F65" s="9" t="n">
        <v>28</v>
      </c>
      <c r="G65" s="9" t="n">
        <v>1.8</v>
      </c>
    </row>
    <row r="67" customFormat="false" ht="15" hidden="false" customHeight="false" outlineLevel="0" collapsed="false">
      <c r="A67" s="10" t="s">
        <v>38</v>
      </c>
      <c r="B67" s="11"/>
      <c r="C67" s="11" t="n">
        <f aca="false">SUM(C5:C65)</f>
        <v>13914.2</v>
      </c>
      <c r="D67" s="11" t="n">
        <f aca="false">SUM(D5:D65)</f>
        <v>5216.2</v>
      </c>
      <c r="E67" s="11" t="n">
        <f aca="false">ROUND(D67*1000/C67,1)</f>
        <v>374.9</v>
      </c>
      <c r="F67" s="11" t="n">
        <f aca="false">ROUND(AVERAGE(F5:F65),1)</f>
        <v>22</v>
      </c>
      <c r="G67" s="11" t="n">
        <f aca="false">ROUND(AVERAGE(G5:G65),2)</f>
        <v>2.04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5" min="2" style="0" width="14"/>
  </cols>
  <sheetData>
    <row r="1" customFormat="false" ht="17.35" hidden="false" customHeight="false" outlineLevel="0" collapsed="false">
      <c r="A1" s="4" t="s">
        <v>39</v>
      </c>
    </row>
    <row r="2" customFormat="false" ht="15" hidden="false" customHeight="false" outlineLevel="0" collapsed="false">
      <c r="A2" s="5" t="s">
        <v>40</v>
      </c>
    </row>
    <row r="4" customFormat="false" ht="30" hidden="false" customHeight="true" outlineLevel="0" collapsed="false">
      <c r="A4" s="6" t="s">
        <v>14</v>
      </c>
      <c r="B4" s="6" t="s">
        <v>41</v>
      </c>
      <c r="C4" s="6" t="s">
        <v>42</v>
      </c>
      <c r="D4" s="6" t="s">
        <v>43</v>
      </c>
      <c r="E4" s="6" t="s">
        <v>44</v>
      </c>
    </row>
    <row r="5" customFormat="false" ht="15" hidden="false" customHeight="false" outlineLevel="0" collapsed="false">
      <c r="A5" s="7" t="s">
        <v>21</v>
      </c>
      <c r="B5" s="12" t="n">
        <v>1.02</v>
      </c>
      <c r="C5" s="12" t="n">
        <v>1</v>
      </c>
      <c r="D5" s="12" t="n">
        <v>0.94</v>
      </c>
      <c r="E5" s="12" t="n">
        <v>0.96</v>
      </c>
    </row>
    <row r="6" customFormat="false" ht="15" hidden="false" customHeight="false" outlineLevel="0" collapsed="false">
      <c r="A6" s="7" t="s">
        <v>27</v>
      </c>
      <c r="B6" s="12" t="n">
        <v>0.96</v>
      </c>
      <c r="C6" s="12" t="n">
        <v>0.98</v>
      </c>
      <c r="D6" s="12" t="n">
        <v>0.92</v>
      </c>
      <c r="E6" s="12" t="n">
        <v>0.95</v>
      </c>
    </row>
    <row r="7" customFormat="false" ht="15" hidden="false" customHeight="false" outlineLevel="0" collapsed="false">
      <c r="A7" s="7" t="s">
        <v>28</v>
      </c>
      <c r="B7" s="12" t="n">
        <v>1</v>
      </c>
      <c r="C7" s="12" t="n">
        <v>1.01</v>
      </c>
      <c r="D7" s="12" t="n">
        <v>0.98</v>
      </c>
      <c r="E7" s="12" t="n">
        <v>0.99</v>
      </c>
    </row>
    <row r="8" customFormat="false" ht="15" hidden="false" customHeight="false" outlineLevel="0" collapsed="false">
      <c r="A8" s="7" t="s">
        <v>29</v>
      </c>
      <c r="B8" s="12" t="n">
        <v>0.98</v>
      </c>
      <c r="C8" s="12" t="n">
        <v>1</v>
      </c>
      <c r="D8" s="12" t="n">
        <v>1.02</v>
      </c>
      <c r="E8" s="12" t="n">
        <v>1.01</v>
      </c>
    </row>
    <row r="9" customFormat="false" ht="15" hidden="false" customHeight="false" outlineLevel="0" collapsed="false">
      <c r="A9" s="7" t="s">
        <v>30</v>
      </c>
      <c r="B9" s="12" t="n">
        <v>1.04</v>
      </c>
      <c r="C9" s="12" t="n">
        <v>1.05</v>
      </c>
      <c r="D9" s="12" t="n">
        <v>1.14</v>
      </c>
      <c r="E9" s="12" t="n">
        <v>1.08</v>
      </c>
    </row>
    <row r="10" customFormat="false" ht="15" hidden="false" customHeight="false" outlineLevel="0" collapsed="false">
      <c r="A10" s="7" t="s">
        <v>31</v>
      </c>
      <c r="B10" s="12" t="n">
        <v>0.92</v>
      </c>
      <c r="C10" s="12" t="n">
        <v>1.02</v>
      </c>
      <c r="D10" s="12" t="n">
        <v>1.18</v>
      </c>
      <c r="E10" s="12" t="n">
        <v>1.1</v>
      </c>
    </row>
    <row r="11" customFormat="false" ht="15" hidden="false" customHeight="false" outlineLevel="0" collapsed="false">
      <c r="A11" s="7" t="s">
        <v>32</v>
      </c>
      <c r="B11" s="12" t="n">
        <v>0.86</v>
      </c>
      <c r="C11" s="12" t="n">
        <v>1.04</v>
      </c>
      <c r="D11" s="12" t="n">
        <v>1.16</v>
      </c>
      <c r="E11" s="12" t="n">
        <v>1.06</v>
      </c>
    </row>
    <row r="12" customFormat="false" ht="15" hidden="false" customHeight="false" outlineLevel="0" collapsed="false">
      <c r="A12" s="7" t="s">
        <v>33</v>
      </c>
      <c r="B12" s="12" t="n">
        <v>0.88</v>
      </c>
      <c r="C12" s="12" t="n">
        <v>1.03</v>
      </c>
      <c r="D12" s="12" t="n">
        <v>1.08</v>
      </c>
      <c r="E12" s="12" t="n">
        <v>1.02</v>
      </c>
    </row>
    <row r="13" customFormat="false" ht="15" hidden="false" customHeight="false" outlineLevel="0" collapsed="false">
      <c r="A13" s="7" t="s">
        <v>34</v>
      </c>
      <c r="B13" s="12" t="n">
        <v>1.03</v>
      </c>
      <c r="C13" s="12" t="n">
        <v>1</v>
      </c>
      <c r="D13" s="12" t="n">
        <v>0.98</v>
      </c>
      <c r="E13" s="12" t="n">
        <v>0.99</v>
      </c>
    </row>
    <row r="14" customFormat="false" ht="15" hidden="false" customHeight="false" outlineLevel="0" collapsed="false">
      <c r="A14" s="7" t="s">
        <v>35</v>
      </c>
      <c r="B14" s="12" t="n">
        <v>1.08</v>
      </c>
      <c r="C14" s="12" t="n">
        <v>0.98</v>
      </c>
      <c r="D14" s="12" t="n">
        <v>0.94</v>
      </c>
      <c r="E14" s="12" t="n">
        <v>0.97</v>
      </c>
    </row>
    <row r="15" customFormat="false" ht="15" hidden="false" customHeight="false" outlineLevel="0" collapsed="false">
      <c r="A15" s="7" t="s">
        <v>36</v>
      </c>
      <c r="B15" s="12" t="n">
        <v>1.12</v>
      </c>
      <c r="C15" s="12" t="n">
        <v>0.96</v>
      </c>
      <c r="D15" s="12" t="n">
        <v>0.92</v>
      </c>
      <c r="E15" s="12" t="n">
        <v>0.95</v>
      </c>
    </row>
    <row r="16" customFormat="false" ht="15" hidden="false" customHeight="false" outlineLevel="0" collapsed="false">
      <c r="A16" s="7" t="s">
        <v>37</v>
      </c>
      <c r="B16" s="12" t="n">
        <v>1.26</v>
      </c>
      <c r="C16" s="12" t="n">
        <v>0.98</v>
      </c>
      <c r="D16" s="12" t="n">
        <v>1.1</v>
      </c>
      <c r="E16" s="12" t="n">
        <v>1.06</v>
      </c>
    </row>
    <row r="18" customFormat="false" ht="15" hidden="false" customHeight="false" outlineLevel="0" collapsed="false">
      <c r="A18" s="10" t="s">
        <v>45</v>
      </c>
      <c r="B18" s="11" t="n">
        <f aca="false">ROUND(AVERAGE(B5:B16),2)</f>
        <v>1.01</v>
      </c>
      <c r="C18" s="11" t="n">
        <f aca="false">ROUND(AVERAGE(C5:C16),2)</f>
        <v>1</v>
      </c>
      <c r="D18" s="11" t="n">
        <f aca="false">ROUND(AVERAGE(D5:D16),2)</f>
        <v>1.03</v>
      </c>
      <c r="E18" s="11" t="n">
        <f aca="false">ROUND(AVERAGE(E5:E16),2)</f>
        <v>1.01</v>
      </c>
    </row>
    <row r="20" customFormat="false" ht="15" hidden="false" customHeight="false" outlineLevel="0" collapsed="false">
      <c r="A20" s="5" t="s">
        <v>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4" min="2" style="0" width="11"/>
    <col collapsed="false" customWidth="true" hidden="false" outlineLevel="0" max="5" min="5" style="0" width="20"/>
    <col collapsed="false" customWidth="true" hidden="false" outlineLevel="0" max="8" min="6" style="0" width="15"/>
    <col collapsed="false" customWidth="true" hidden="false" outlineLevel="0" max="9" min="9" style="0" width="16"/>
  </cols>
  <sheetData>
    <row r="1" customFormat="false" ht="17.35" hidden="false" customHeight="false" outlineLevel="0" collapsed="false">
      <c r="A1" s="4" t="s">
        <v>47</v>
      </c>
    </row>
    <row r="2" customFormat="false" ht="15" hidden="false" customHeight="false" outlineLevel="0" collapsed="false">
      <c r="A2" s="5" t="s">
        <v>48</v>
      </c>
    </row>
    <row r="4" customFormat="false" ht="30" hidden="false" customHeight="true" outlineLevel="0" collapsed="false">
      <c r="A4" s="6" t="s">
        <v>14</v>
      </c>
      <c r="B4" s="6" t="s">
        <v>49</v>
      </c>
      <c r="C4" s="6" t="s">
        <v>50</v>
      </c>
      <c r="D4" s="6" t="s">
        <v>51</v>
      </c>
      <c r="E4" s="6" t="s">
        <v>52</v>
      </c>
      <c r="F4" s="6" t="s">
        <v>53</v>
      </c>
      <c r="G4" s="6" t="s">
        <v>54</v>
      </c>
      <c r="H4" s="6" t="s">
        <v>55</v>
      </c>
      <c r="I4" s="6" t="s">
        <v>56</v>
      </c>
    </row>
    <row r="5" customFormat="false" ht="15" hidden="false" customHeight="false" outlineLevel="0" collapsed="false">
      <c r="A5" s="7" t="s">
        <v>21</v>
      </c>
      <c r="B5" s="9" t="n">
        <v>92.4</v>
      </c>
      <c r="C5" s="9" t="n">
        <v>100.2</v>
      </c>
      <c r="D5" s="9" t="n">
        <v>12.7</v>
      </c>
      <c r="E5" s="9" t="n">
        <v>100</v>
      </c>
      <c r="F5" s="9" t="n">
        <v>352</v>
      </c>
      <c r="G5" s="9" t="n">
        <v>188</v>
      </c>
      <c r="H5" s="9" t="n">
        <v>246</v>
      </c>
      <c r="I5" s="9" t="n">
        <v>488</v>
      </c>
    </row>
    <row r="6" customFormat="false" ht="15" hidden="false" customHeight="false" outlineLevel="0" collapsed="false">
      <c r="A6" s="7" t="s">
        <v>27</v>
      </c>
      <c r="B6" s="9" t="n">
        <v>93.1</v>
      </c>
      <c r="C6" s="9" t="n">
        <v>101.4</v>
      </c>
      <c r="D6" s="9" t="n">
        <v>12.9</v>
      </c>
      <c r="E6" s="9" t="n">
        <v>101.4</v>
      </c>
      <c r="F6" s="9" t="n">
        <v>355</v>
      </c>
      <c r="G6" s="9" t="n">
        <v>190</v>
      </c>
      <c r="H6" s="9" t="n">
        <v>248</v>
      </c>
      <c r="I6" s="9" t="n">
        <v>492</v>
      </c>
    </row>
    <row r="7" customFormat="false" ht="15" hidden="false" customHeight="false" outlineLevel="0" collapsed="false">
      <c r="A7" s="7" t="s">
        <v>28</v>
      </c>
      <c r="B7" s="9" t="n">
        <v>94.8</v>
      </c>
      <c r="C7" s="9" t="n">
        <v>102.9</v>
      </c>
      <c r="D7" s="9" t="n">
        <v>13.1</v>
      </c>
      <c r="E7" s="9" t="n">
        <v>103.2</v>
      </c>
      <c r="F7" s="9" t="n">
        <v>358</v>
      </c>
      <c r="G7" s="9" t="n">
        <v>193</v>
      </c>
      <c r="H7" s="9" t="n">
        <v>252</v>
      </c>
      <c r="I7" s="9" t="n">
        <v>498</v>
      </c>
    </row>
    <row r="8" customFormat="false" ht="15" hidden="false" customHeight="false" outlineLevel="0" collapsed="false">
      <c r="A8" s="7" t="s">
        <v>29</v>
      </c>
      <c r="B8" s="9" t="n">
        <v>95.2</v>
      </c>
      <c r="C8" s="9" t="n">
        <v>103.5</v>
      </c>
      <c r="D8" s="9" t="n">
        <v>13.2</v>
      </c>
      <c r="E8" s="9" t="n">
        <v>104.1</v>
      </c>
      <c r="F8" s="9" t="n">
        <v>360</v>
      </c>
      <c r="G8" s="9" t="n">
        <v>195</v>
      </c>
      <c r="H8" s="9" t="n">
        <v>258</v>
      </c>
      <c r="I8" s="9" t="n">
        <v>506</v>
      </c>
    </row>
    <row r="9" customFormat="false" ht="15" hidden="false" customHeight="false" outlineLevel="0" collapsed="false">
      <c r="A9" s="7" t="s">
        <v>30</v>
      </c>
      <c r="B9" s="9" t="n">
        <v>96.7</v>
      </c>
      <c r="C9" s="9" t="n">
        <v>105.1</v>
      </c>
      <c r="D9" s="9" t="n">
        <v>13.4</v>
      </c>
      <c r="E9" s="9" t="n">
        <v>106.8</v>
      </c>
      <c r="F9" s="9" t="n">
        <v>364</v>
      </c>
      <c r="G9" s="9" t="n">
        <v>199</v>
      </c>
      <c r="H9" s="9" t="n">
        <v>268</v>
      </c>
      <c r="I9" s="9" t="n">
        <v>518</v>
      </c>
    </row>
    <row r="10" customFormat="false" ht="15" hidden="false" customHeight="false" outlineLevel="0" collapsed="false">
      <c r="A10" s="7" t="s">
        <v>31</v>
      </c>
      <c r="B10" s="9" t="n">
        <v>98.3</v>
      </c>
      <c r="C10" s="9" t="n">
        <v>106.8</v>
      </c>
      <c r="D10" s="9" t="n">
        <v>13.6</v>
      </c>
      <c r="E10" s="9" t="n">
        <v>109.4</v>
      </c>
      <c r="F10" s="9" t="n">
        <v>366</v>
      </c>
      <c r="G10" s="9" t="n">
        <v>204</v>
      </c>
      <c r="H10" s="9" t="n">
        <v>276</v>
      </c>
      <c r="I10" s="9" t="n">
        <v>1528</v>
      </c>
    </row>
    <row r="11" customFormat="false" ht="15" hidden="false" customHeight="false" outlineLevel="0" collapsed="false">
      <c r="A11" s="7" t="s">
        <v>32</v>
      </c>
      <c r="B11" s="9" t="n">
        <v>99.1</v>
      </c>
      <c r="C11" s="9" t="n">
        <v>107.4</v>
      </c>
      <c r="D11" s="9" t="n">
        <v>13.7</v>
      </c>
      <c r="E11" s="9" t="n">
        <v>111.2</v>
      </c>
      <c r="F11" s="9" t="n">
        <v>368</v>
      </c>
      <c r="G11" s="9" t="n">
        <v>208</v>
      </c>
      <c r="H11" s="9" t="n">
        <v>274</v>
      </c>
      <c r="I11" s="9" t="n">
        <v>532</v>
      </c>
    </row>
    <row r="12" customFormat="false" ht="15" hidden="false" customHeight="false" outlineLevel="0" collapsed="false">
      <c r="A12" s="7" t="s">
        <v>33</v>
      </c>
      <c r="B12" s="9" t="n">
        <v>100.4</v>
      </c>
      <c r="C12" s="9" t="n">
        <v>109.2</v>
      </c>
      <c r="D12" s="9" t="n">
        <v>13.9</v>
      </c>
      <c r="E12" s="9" t="n">
        <v>113.6</v>
      </c>
      <c r="F12" s="9" t="n">
        <v>372</v>
      </c>
      <c r="G12" s="9" t="n">
        <v>210</v>
      </c>
      <c r="H12" s="9" t="n">
        <v>266</v>
      </c>
      <c r="I12" s="9" t="n">
        <v>536</v>
      </c>
    </row>
    <row r="13" customFormat="false" ht="15" hidden="false" customHeight="false" outlineLevel="0" collapsed="false">
      <c r="A13" s="7" t="s">
        <v>34</v>
      </c>
      <c r="B13" s="9" t="n">
        <v>101.8</v>
      </c>
      <c r="C13" s="9" t="n">
        <v>110.6</v>
      </c>
      <c r="D13" s="9" t="n">
        <v>14.1</v>
      </c>
      <c r="E13" s="9" t="n">
        <v>115.1</v>
      </c>
      <c r="F13" s="9" t="n">
        <v>376</v>
      </c>
      <c r="G13" s="9" t="n">
        <v>209</v>
      </c>
      <c r="H13" s="9" t="n">
        <v>258</v>
      </c>
      <c r="I13" s="9" t="n">
        <v>542</v>
      </c>
    </row>
    <row r="14" customFormat="false" ht="15" hidden="false" customHeight="false" outlineLevel="0" collapsed="false">
      <c r="A14" s="7" t="s">
        <v>35</v>
      </c>
      <c r="B14" s="9" t="n">
        <v>103.2</v>
      </c>
      <c r="C14" s="9" t="n">
        <v>112.4</v>
      </c>
      <c r="D14" s="9" t="n">
        <v>14.3</v>
      </c>
      <c r="E14" s="9" t="n">
        <v>116.4</v>
      </c>
      <c r="F14" s="9" t="n">
        <v>380</v>
      </c>
      <c r="G14" s="9" t="n">
        <v>207</v>
      </c>
      <c r="H14" s="9" t="n">
        <v>252</v>
      </c>
      <c r="I14" s="9" t="n">
        <v>548</v>
      </c>
    </row>
    <row r="15" customFormat="false" ht="15" hidden="false" customHeight="false" outlineLevel="0" collapsed="false">
      <c r="A15" s="7" t="s">
        <v>36</v>
      </c>
      <c r="B15" s="9" t="n">
        <v>104.6</v>
      </c>
      <c r="C15" s="9" t="n">
        <v>114</v>
      </c>
      <c r="D15" s="9" t="n">
        <v>14.5</v>
      </c>
      <c r="E15" s="9" t="n">
        <v>118.2</v>
      </c>
      <c r="F15" s="9" t="n">
        <v>384</v>
      </c>
      <c r="G15" s="9" t="n">
        <v>206</v>
      </c>
      <c r="H15" s="9" t="n">
        <v>249</v>
      </c>
      <c r="I15" s="9" t="n">
        <v>554</v>
      </c>
    </row>
    <row r="16" customFormat="false" ht="15" hidden="false" customHeight="false" outlineLevel="0" collapsed="false">
      <c r="A16" s="7" t="s">
        <v>37</v>
      </c>
      <c r="B16" s="9" t="n">
        <v>106.1</v>
      </c>
      <c r="C16" s="9" t="n">
        <v>115.8</v>
      </c>
      <c r="D16" s="9" t="n">
        <v>14.7</v>
      </c>
      <c r="E16" s="9" t="n">
        <v>120.5</v>
      </c>
      <c r="F16" s="9" t="n">
        <v>390</v>
      </c>
      <c r="G16" s="9" t="n">
        <v>212</v>
      </c>
      <c r="H16" s="9" t="n">
        <v>262</v>
      </c>
      <c r="I16" s="9" t="n">
        <v>566</v>
      </c>
    </row>
    <row r="18" customFormat="false" ht="15" hidden="false" customHeight="false" outlineLevel="0" collapsed="false">
      <c r="A18" s="10" t="s">
        <v>57</v>
      </c>
      <c r="B18" s="11" t="n">
        <f aca="false">ROUND((B16/B5-1)*100,1)</f>
        <v>14.8</v>
      </c>
      <c r="C18" s="11" t="n">
        <f aca="false">ROUND((C16/C5-1)*100,1)</f>
        <v>15.6</v>
      </c>
      <c r="D18" s="11" t="n">
        <f aca="false">ROUND((D16/D5-1)*100,1)</f>
        <v>15.7</v>
      </c>
      <c r="E18" s="11" t="n">
        <f aca="false">ROUND((E16/E5-1)*100,1)</f>
        <v>20.5</v>
      </c>
      <c r="F18" s="11" t="n">
        <f aca="false">ROUND((F16/F5-1)*100,1)</f>
        <v>10.8</v>
      </c>
      <c r="G18" s="11" t="n">
        <f aca="false">ROUND((G16/G5-1)*100,1)</f>
        <v>12.8</v>
      </c>
      <c r="H18" s="11" t="n">
        <f aca="false">ROUND((H16/H5-1)*100,1)</f>
        <v>6.5</v>
      </c>
      <c r="I18" s="11" t="n">
        <f aca="false">ROUND((I16/I5-1)*100,1)</f>
        <v>16</v>
      </c>
    </row>
    <row r="20" customFormat="false" ht="15" hidden="false" customHeight="false" outlineLevel="0" collapsed="false">
      <c r="A20" s="5" t="s">
        <v>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4" min="4" style="0" width="62"/>
  </cols>
  <sheetData>
    <row r="1" customFormat="false" ht="17.35" hidden="false" customHeight="false" outlineLevel="0" collapsed="false">
      <c r="A1" s="4" t="s">
        <v>59</v>
      </c>
    </row>
    <row r="4" customFormat="false" ht="30" hidden="false" customHeight="true" outlineLevel="0" collapsed="false">
      <c r="A4" s="6" t="s">
        <v>60</v>
      </c>
      <c r="B4" s="6" t="s">
        <v>61</v>
      </c>
      <c r="C4" s="6" t="s">
        <v>62</v>
      </c>
      <c r="D4" s="6" t="s">
        <v>63</v>
      </c>
    </row>
    <row r="5" customFormat="false" ht="15" hidden="false" customHeight="false" outlineLevel="0" collapsed="false">
      <c r="A5" s="7" t="s">
        <v>64</v>
      </c>
      <c r="B5" s="8" t="s">
        <v>65</v>
      </c>
      <c r="C5" s="8" t="s">
        <v>66</v>
      </c>
      <c r="D5" s="8" t="s">
        <v>67</v>
      </c>
    </row>
    <row r="6" customFormat="false" ht="15" hidden="false" customHeight="false" outlineLevel="0" collapsed="false">
      <c r="A6" s="13" t="s">
        <v>64</v>
      </c>
      <c r="B6" s="14" t="s">
        <v>68</v>
      </c>
      <c r="C6" s="14" t="s">
        <v>69</v>
      </c>
      <c r="D6" s="14" t="s">
        <v>70</v>
      </c>
    </row>
    <row r="7" customFormat="false" ht="15" hidden="false" customHeight="false" outlineLevel="0" collapsed="false">
      <c r="A7" s="7" t="s">
        <v>64</v>
      </c>
      <c r="B7" s="8" t="s">
        <v>71</v>
      </c>
      <c r="C7" s="8" t="s">
        <v>72</v>
      </c>
      <c r="D7" s="8" t="s">
        <v>73</v>
      </c>
    </row>
    <row r="8" customFormat="false" ht="15" hidden="false" customHeight="false" outlineLevel="0" collapsed="false">
      <c r="A8" s="13" t="s">
        <v>64</v>
      </c>
      <c r="B8" s="14" t="s">
        <v>74</v>
      </c>
      <c r="C8" s="14" t="s">
        <v>75</v>
      </c>
      <c r="D8" s="14" t="s">
        <v>76</v>
      </c>
    </row>
    <row r="9" customFormat="false" ht="15" hidden="false" customHeight="false" outlineLevel="0" collapsed="false">
      <c r="A9" s="7" t="s">
        <v>64</v>
      </c>
      <c r="B9" s="8" t="s">
        <v>77</v>
      </c>
      <c r="C9" s="8" t="s">
        <v>78</v>
      </c>
      <c r="D9" s="8" t="s">
        <v>79</v>
      </c>
    </row>
    <row r="10" customFormat="false" ht="15" hidden="false" customHeight="false" outlineLevel="0" collapsed="false">
      <c r="A10" s="13" t="s">
        <v>80</v>
      </c>
      <c r="B10" s="14" t="s">
        <v>81</v>
      </c>
      <c r="C10" s="14" t="s">
        <v>82</v>
      </c>
      <c r="D10" s="14" t="s">
        <v>83</v>
      </c>
    </row>
    <row r="11" customFormat="false" ht="15" hidden="false" customHeight="false" outlineLevel="0" collapsed="false">
      <c r="A11" s="7" t="s">
        <v>84</v>
      </c>
      <c r="B11" s="8" t="s">
        <v>85</v>
      </c>
      <c r="C11" s="8" t="s">
        <v>86</v>
      </c>
      <c r="D11" s="8" t="s">
        <v>87</v>
      </c>
    </row>
    <row r="12" customFormat="false" ht="15" hidden="false" customHeight="false" outlineLevel="0" collapsed="false">
      <c r="A12" s="13" t="s">
        <v>84</v>
      </c>
      <c r="B12" s="14" t="s">
        <v>52</v>
      </c>
      <c r="C12" s="14" t="s">
        <v>88</v>
      </c>
      <c r="D12" s="14" t="s">
        <v>89</v>
      </c>
    </row>
    <row r="13" customFormat="false" ht="15" hidden="false" customHeight="false" outlineLevel="0" collapsed="false">
      <c r="A13" s="7" t="s">
        <v>84</v>
      </c>
      <c r="B13" s="8" t="s">
        <v>90</v>
      </c>
      <c r="C13" s="8" t="s">
        <v>91</v>
      </c>
      <c r="D13" s="8" t="s">
        <v>92</v>
      </c>
    </row>
    <row r="16" customFormat="false" ht="15" hidden="false" customHeight="false" outlineLevel="0" collapsed="false">
      <c r="A16" s="5" t="s">
        <v>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2026-08-26T16:12:46Z</dcterms:created>
  <dc:creator>openpyxl</dc:creator>
  <dc:description/>
  <dc:language>en-US</dc:language>
  <cp:lastModifiedBy/>
  <dcterms:modified xsi:type="dcterms:W3CDTF">2026-08-26T16:12:46Z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